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2. Extraction Fields" sheetId="2" state="visible" r:id="rId2"/>
    <sheet xmlns:r="http://schemas.openxmlformats.org/officeDocument/2006/relationships" name="3. Out of Scop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111827"/>
      <sz val="10"/>
    </font>
    <font>
      <b val="1"/>
      <color rgb="00FFFFFF"/>
      <sz val="11"/>
    </font>
    <font>
      <b val="1"/>
      <color rgb="00111827"/>
      <sz val="10"/>
    </font>
    <font>
      <color rgb="00111827"/>
      <sz val="10"/>
    </font>
    <font>
      <b val="1"/>
      <color rgb="001E7D46"/>
      <sz val="10"/>
    </font>
    <font>
      <b val="1"/>
      <color rgb="008A6100"/>
      <sz val="10"/>
    </font>
  </fonts>
  <fills count="8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2D6FD6"/>
      </patternFill>
    </fill>
    <fill>
      <patternFill patternType="solid">
        <fgColor rgb="00E7F5EC"/>
      </patternFill>
    </fill>
    <fill>
      <patternFill patternType="solid">
        <fgColor rgb="00F4F6F9"/>
      </patternFill>
    </fill>
    <fill>
      <patternFill patternType="solid">
        <fgColor rgb="00FBF3E2"/>
      </patternFill>
    </fill>
    <fill>
      <patternFill patternType="solid">
        <fgColor rgb="00FBECEA"/>
      </patternFill>
    </fill>
  </fills>
  <borders count="2">
    <border>
      <left/>
      <right/>
      <top/>
      <bottom/>
      <diagonal/>
    </border>
    <border>
      <left style="thin">
        <color rgb="00C7CFDA"/>
      </left>
      <right style="thin">
        <color rgb="00C7CFDA"/>
      </right>
      <top style="thin">
        <color rgb="00C7CFDA"/>
      </top>
      <bottom style="thin">
        <color rgb="00C7CFDA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vertical="center" indent="1"/>
    </xf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top"/>
    </xf>
    <xf numFmtId="0" fontId="5" fillId="5" borderId="1" applyAlignment="1" pivotButton="0" quotePrefix="0" xfId="0">
      <alignment vertical="top"/>
    </xf>
    <xf numFmtId="0" fontId="4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7" fillId="6" borderId="1" applyAlignment="1" pivotButton="0" quotePrefix="0" xfId="0">
      <alignment horizontal="center" vertical="top"/>
    </xf>
    <xf numFmtId="0" fontId="4" fillId="7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4" fillId="6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2" customWidth="1" min="5" max="5"/>
  </cols>
  <sheetData>
    <row r="1" ht="30" customHeight="1">
      <c r="A1" s="1" t="inlineStr">
        <is>
          <t>Financial-Statement Extraction Spec — Parameters for MSME Comparable Valuation</t>
        </is>
      </c>
    </row>
    <row r="2" ht="18" customHeight="1">
      <c r="A2" s="2" t="inlineStr">
        <is>
          <t>RAW reported line items to extract from each company's filed statements (Ind AS / Schedule III). Engine derives all ratios.</t>
        </is>
      </c>
    </row>
    <row r="4" ht="20" customHeight="1">
      <c r="A4" s="3" t="inlineStr">
        <is>
          <t>GLOBAL EXTRACTION RULES (apply to every value)</t>
        </is>
      </c>
    </row>
    <row r="5" ht="30" customHeight="1">
      <c r="A5" s="4" t="inlineStr">
        <is>
          <t>1. Both periods</t>
        </is>
      </c>
      <c r="B5" s="5" t="inlineStr">
        <is>
          <t>Capture every P&amp;L and Balance-Sheet figure for the CURRENT year AND the COMPARATIVE (prior) year - both columns are printed.</t>
        </is>
      </c>
    </row>
    <row r="6" ht="30" customHeight="1">
      <c r="A6" s="4" t="inlineStr">
        <is>
          <t>2. Units &amp; currency</t>
        </is>
      </c>
      <c r="B6" s="5" t="inlineStr">
        <is>
          <t>Record the statement's stated denomination (actuals / thousand / lakh / crore / million) and currency. Give the number AS PRINTED plus the unit label - do NOT pre-scale or convert.</t>
        </is>
      </c>
    </row>
    <row r="7" ht="30" customHeight="1">
      <c r="A7" s="4" t="inlineStr">
        <is>
          <t>3. Statement set</t>
        </is>
      </c>
      <c r="B7" s="5" t="inlineStr">
        <is>
          <t>Record Standalone vs Consolidated and extract ONE set consistently (prefer Consolidated where a group exists).</t>
        </is>
      </c>
    </row>
    <row r="8" ht="30" customHeight="1">
      <c r="A8" s="4" t="inlineStr">
        <is>
          <t>4. As reported, with sign</t>
        </is>
      </c>
      <c r="B8" s="5" t="inlineStr">
        <is>
          <t>Give the figure exactly as printed (brackets/negatives preserved). Note the page / schedule / note number each value came from (for the audit trail).</t>
        </is>
      </c>
    </row>
    <row r="10" ht="20" customHeight="1">
      <c r="A10" s="3" t="inlineStr">
        <is>
          <t>LEGEND</t>
        </is>
      </c>
    </row>
    <row r="11" ht="30" customHeight="1">
      <c r="A11" s="4" t="inlineStr">
        <is>
          <t>Required</t>
        </is>
      </c>
      <c r="B11" s="5" t="inlineStr">
        <is>
          <t>Must be extracted - the engine needs it (directly or to derive a value).</t>
        </is>
      </c>
    </row>
    <row r="12" ht="30" customHeight="1">
      <c r="A12" s="4" t="inlineStr">
        <is>
          <t>Optional</t>
        </is>
      </c>
      <c r="B12" s="5" t="inlineStr">
        <is>
          <t>Extract only if trivially on the same page - reconciliation / future methods.</t>
        </is>
      </c>
    </row>
    <row r="13" ht="30" customHeight="1">
      <c r="A13" s="4" t="inlineStr">
        <is>
          <t>Both years = Y</t>
        </is>
      </c>
      <c r="B13" s="5" t="inlineStr">
        <is>
          <t>Provide current AND prior-year value.</t>
        </is>
      </c>
    </row>
    <row r="15" ht="20" customHeight="1">
      <c r="A15" s="3" t="inlineStr">
        <is>
          <t>SHEETS</t>
        </is>
      </c>
    </row>
    <row r="16" ht="30" customHeight="1">
      <c r="A16" s="4" t="inlineStr">
        <is>
          <t>2. Extraction Fields</t>
        </is>
      </c>
      <c r="B16" s="5" t="inlineStr">
        <is>
          <t>The flat field list (47 rows) - forward this to the team.</t>
        </is>
      </c>
    </row>
    <row r="17" ht="30" customHeight="1">
      <c r="A17" s="4" t="inlineStr">
        <is>
          <t>3. Out of Scope</t>
        </is>
      </c>
      <c r="B17" s="5" t="inlineStr">
        <is>
          <t>What NOT to extract or compute, and what is external (market price).</t>
        </is>
      </c>
    </row>
  </sheetData>
  <mergeCells count="17">
    <mergeCell ref="B17:E17"/>
    <mergeCell ref="A4:E4"/>
    <mergeCell ref="B8:E8"/>
    <mergeCell ref="B4:E4"/>
    <mergeCell ref="A2:E2"/>
    <mergeCell ref="B12:E12"/>
    <mergeCell ref="A10:E10"/>
    <mergeCell ref="B13:E13"/>
    <mergeCell ref="B6:E6"/>
    <mergeCell ref="A15:E15"/>
    <mergeCell ref="B16:E16"/>
    <mergeCell ref="B15:E15"/>
    <mergeCell ref="B7:E7"/>
    <mergeCell ref="A1:E1"/>
    <mergeCell ref="B11:E11"/>
    <mergeCell ref="B5:E5"/>
    <mergeCell ref="B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34" customWidth="1" min="3" max="3"/>
    <col width="26" customWidth="1" min="4" max="4"/>
    <col width="34" customWidth="1" min="5" max="5"/>
    <col width="8" customWidth="1" min="6" max="6"/>
    <col width="8" customWidth="1" min="7" max="7"/>
    <col width="9" customWidth="1" min="8" max="8"/>
    <col width="40" customWidth="1" min="9" max="9"/>
  </cols>
  <sheetData>
    <row r="1" ht="30" customHeight="1">
      <c r="A1" s="1" t="inlineStr">
        <is>
          <t>Extraction Fields</t>
        </is>
      </c>
    </row>
    <row r="2" ht="18" customHeight="1">
      <c r="A2" s="2" t="inlineStr">
        <is>
          <t>Field (canonical Ind AS / Schedule III label) - Section - Synonyms / where in PDF - Req? - Both years - Type - Feeds (engine use)</t>
        </is>
      </c>
    </row>
    <row r="4">
      <c r="A4" s="6" t="inlineStr">
        <is>
          <t>#</t>
        </is>
      </c>
      <c r="B4" s="6" t="inlineStr">
        <is>
          <t>Group</t>
        </is>
      </c>
      <c r="C4" s="6" t="inlineStr">
        <is>
          <t>Field (canonical label)</t>
        </is>
      </c>
      <c r="D4" s="6" t="inlineStr">
        <is>
          <t>Statement / Section</t>
        </is>
      </c>
      <c r="E4" s="6" t="inlineStr">
        <is>
          <t>Synonyms / where found in PDF</t>
        </is>
      </c>
      <c r="F4" s="6" t="inlineStr">
        <is>
          <t>Req?</t>
        </is>
      </c>
      <c r="G4" s="6" t="inlineStr">
        <is>
          <t>Both yrs</t>
        </is>
      </c>
      <c r="H4" s="6" t="inlineStr">
        <is>
          <t>Type</t>
        </is>
      </c>
      <c r="I4" s="6" t="inlineStr">
        <is>
          <t>Feeds (what the engine uses it for)</t>
        </is>
      </c>
    </row>
    <row r="5">
      <c r="A5" s="7" t="n">
        <v>1</v>
      </c>
      <c r="B5" s="7" t="inlineStr">
        <is>
          <t>Metadata</t>
        </is>
      </c>
      <c r="C5" s="8" t="inlineStr">
        <is>
          <t>Company legal name</t>
        </is>
      </c>
      <c r="D5" s="9" t="inlineStr">
        <is>
          <t>Cover / header</t>
        </is>
      </c>
      <c r="E5" s="9" t="inlineStr">
        <is>
          <t>-</t>
        </is>
      </c>
      <c r="F5" s="10" t="inlineStr">
        <is>
          <t>Req</t>
        </is>
      </c>
      <c r="G5" s="7" t="inlineStr">
        <is>
          <t>N</t>
        </is>
      </c>
      <c r="H5" s="7" t="inlineStr">
        <is>
          <t>text</t>
        </is>
      </c>
      <c r="I5" s="9" t="inlineStr">
        <is>
          <t>Identity.</t>
        </is>
      </c>
    </row>
    <row r="6">
      <c r="A6" s="11" t="n">
        <v>2</v>
      </c>
      <c r="B6" s="11" t="inlineStr">
        <is>
          <t>Metadata</t>
        </is>
      </c>
      <c r="C6" s="12" t="inlineStr">
        <is>
          <t>CIN</t>
        </is>
      </c>
      <c r="D6" s="13" t="inlineStr">
        <is>
          <t>Cover / header / MCA</t>
        </is>
      </c>
      <c r="E6" s="13" t="inlineStr">
        <is>
          <t>Corporate Identity Number</t>
        </is>
      </c>
      <c r="F6" s="10" t="inlineStr">
        <is>
          <t>Req</t>
        </is>
      </c>
      <c r="G6" s="11" t="inlineStr">
        <is>
          <t>N</t>
        </is>
      </c>
      <c r="H6" s="11" t="inlineStr">
        <is>
          <t>text</t>
        </is>
      </c>
      <c r="I6" s="13" t="inlineStr">
        <is>
          <t>Listing status (1st char L/U) + identity.</t>
        </is>
      </c>
    </row>
    <row r="7">
      <c r="A7" s="7" t="n">
        <v>3</v>
      </c>
      <c r="B7" s="7" t="inlineStr">
        <is>
          <t>Metadata</t>
        </is>
      </c>
      <c r="C7" s="8" t="inlineStr">
        <is>
          <t>Financial-year end date (current)</t>
        </is>
      </c>
      <c r="D7" s="9" t="inlineStr">
        <is>
          <t>Statement header</t>
        </is>
      </c>
      <c r="E7" s="9" t="inlineStr">
        <is>
          <t>Reporting period end</t>
        </is>
      </c>
      <c r="F7" s="10" t="inlineStr">
        <is>
          <t>Req</t>
        </is>
      </c>
      <c r="G7" s="7" t="inlineStr">
        <is>
          <t>N</t>
        </is>
      </c>
      <c r="H7" s="7" t="inlineStr">
        <is>
          <t>date</t>
        </is>
      </c>
      <c r="I7" s="9" t="inlineStr">
        <is>
          <t>Reporting period.</t>
        </is>
      </c>
    </row>
    <row r="8">
      <c r="A8" s="11" t="n">
        <v>4</v>
      </c>
      <c r="B8" s="11" t="inlineStr">
        <is>
          <t>Metadata</t>
        </is>
      </c>
      <c r="C8" s="12" t="inlineStr">
        <is>
          <t>Comparative period end date</t>
        </is>
      </c>
      <c r="D8" s="13" t="inlineStr">
        <is>
          <t>Statement header</t>
        </is>
      </c>
      <c r="E8" s="13" t="inlineStr">
        <is>
          <t>Prior-year end</t>
        </is>
      </c>
      <c r="F8" s="10" t="inlineStr">
        <is>
          <t>Req</t>
        </is>
      </c>
      <c r="G8" s="11" t="inlineStr">
        <is>
          <t>N</t>
        </is>
      </c>
      <c r="H8" s="11" t="inlineStr">
        <is>
          <t>date</t>
        </is>
      </c>
      <c r="I8" s="13" t="inlineStr">
        <is>
          <t>Prior period (growth).</t>
        </is>
      </c>
    </row>
    <row r="9">
      <c r="A9" s="7" t="n">
        <v>5</v>
      </c>
      <c r="B9" s="7" t="inlineStr">
        <is>
          <t>Metadata</t>
        </is>
      </c>
      <c r="C9" s="8" t="inlineStr">
        <is>
          <t>Reporting currency</t>
        </is>
      </c>
      <c r="D9" s="9" t="inlineStr">
        <is>
          <t>Statement header</t>
        </is>
      </c>
      <c r="E9" s="9" t="inlineStr">
        <is>
          <t>-</t>
        </is>
      </c>
      <c r="F9" s="10" t="inlineStr">
        <is>
          <t>Req</t>
        </is>
      </c>
      <c r="G9" s="7" t="inlineStr">
        <is>
          <t>N</t>
        </is>
      </c>
      <c r="H9" s="7" t="inlineStr">
        <is>
          <t>text</t>
        </is>
      </c>
      <c r="I9" s="9" t="inlineStr">
        <is>
          <t>Normalization (expect INR).</t>
        </is>
      </c>
    </row>
    <row r="10">
      <c r="A10" s="11" t="n">
        <v>6</v>
      </c>
      <c r="B10" s="11" t="inlineStr">
        <is>
          <t>Metadata</t>
        </is>
      </c>
      <c r="C10" s="12" t="inlineStr">
        <is>
          <t>Units / denomination</t>
        </is>
      </c>
      <c r="D10" s="13" t="inlineStr">
        <is>
          <t>Statement header</t>
        </is>
      </c>
      <c r="E10" s="13" t="inlineStr">
        <is>
          <t>actuals / thousand / lakh / crore / million</t>
        </is>
      </c>
      <c r="F10" s="10" t="inlineStr">
        <is>
          <t>Req</t>
        </is>
      </c>
      <c r="G10" s="11" t="inlineStr">
        <is>
          <t>N</t>
        </is>
      </c>
      <c r="H10" s="11" t="inlineStr">
        <is>
          <t>enum</t>
        </is>
      </c>
      <c r="I10" s="13" t="inlineStr">
        <is>
          <t>CRITICAL: unit normalization to INR Crore.</t>
        </is>
      </c>
    </row>
    <row r="11">
      <c r="A11" s="7" t="n">
        <v>7</v>
      </c>
      <c r="B11" s="7" t="inlineStr">
        <is>
          <t>Metadata</t>
        </is>
      </c>
      <c r="C11" s="8" t="inlineStr">
        <is>
          <t>Standalone vs Consolidated</t>
        </is>
      </c>
      <c r="D11" s="9" t="inlineStr">
        <is>
          <t>Statement title</t>
        </is>
      </c>
      <c r="E11" s="9" t="inlineStr">
        <is>
          <t>-</t>
        </is>
      </c>
      <c r="F11" s="10" t="inlineStr">
        <is>
          <t>Req</t>
        </is>
      </c>
      <c r="G11" s="7" t="inlineStr">
        <is>
          <t>N</t>
        </is>
      </c>
      <c r="H11" s="7" t="inlineStr">
        <is>
          <t>enum</t>
        </is>
      </c>
      <c r="I11" s="9" t="inlineStr">
        <is>
          <t>Which set - extract ONE consistently.</t>
        </is>
      </c>
    </row>
    <row r="12">
      <c r="A12" s="11" t="n">
        <v>8</v>
      </c>
      <c r="B12" s="11" t="inlineStr">
        <is>
          <t>Metadata</t>
        </is>
      </c>
      <c r="C12" s="12" t="inlineStr">
        <is>
          <t>Auditor opinion type</t>
        </is>
      </c>
      <c r="D12" s="13" t="inlineStr">
        <is>
          <t>Auditor's report</t>
        </is>
      </c>
      <c r="E12" s="13" t="inlineStr">
        <is>
          <t>unqualified / qualified / adverse</t>
        </is>
      </c>
      <c r="F12" s="10" t="inlineStr">
        <is>
          <t>Req</t>
        </is>
      </c>
      <c r="G12" s="11" t="inlineStr">
        <is>
          <t>N</t>
        </is>
      </c>
      <c r="H12" s="11" t="inlineStr">
        <is>
          <t>enum</t>
        </is>
      </c>
      <c r="I12" s="13" t="inlineStr">
        <is>
          <t>Data-quality flag.</t>
        </is>
      </c>
    </row>
    <row r="13">
      <c r="A13" s="7" t="n">
        <v>9</v>
      </c>
      <c r="B13" s="7" t="inlineStr">
        <is>
          <t>P&amp;L</t>
        </is>
      </c>
      <c r="C13" s="8" t="inlineStr">
        <is>
          <t>Revenue from operations</t>
        </is>
      </c>
      <c r="D13" s="9" t="inlineStr">
        <is>
          <t>Statement of P&amp;L</t>
        </is>
      </c>
      <c r="E13" s="9" t="inlineStr">
        <is>
          <t>Sales / Net revenue from operations</t>
        </is>
      </c>
      <c r="F13" s="10" t="inlineStr">
        <is>
          <t>Req</t>
        </is>
      </c>
      <c r="G13" s="7" t="inlineStr">
        <is>
          <t>Y</t>
        </is>
      </c>
      <c r="H13" s="7" t="inlineStr">
        <is>
          <t>number</t>
        </is>
      </c>
      <c r="I13" s="9" t="inlineStr">
        <is>
          <t>Revenue driver, growth, scale, margin, size band.</t>
        </is>
      </c>
    </row>
    <row r="14">
      <c r="A14" s="11" t="n">
        <v>10</v>
      </c>
      <c r="B14" s="11" t="inlineStr">
        <is>
          <t>P&amp;L</t>
        </is>
      </c>
      <c r="C14" s="12" t="inlineStr">
        <is>
          <t>Other income</t>
        </is>
      </c>
      <c r="D14" s="13" t="inlineStr">
        <is>
          <t>Statement of P&amp;L</t>
        </is>
      </c>
      <c r="E14" s="13" t="inlineStr">
        <is>
          <t>-</t>
        </is>
      </c>
      <c r="F14" s="10" t="inlineStr">
        <is>
          <t>Req</t>
        </is>
      </c>
      <c r="G14" s="11" t="inlineStr">
        <is>
          <t>Y</t>
        </is>
      </c>
      <c r="H14" s="11" t="inlineStr">
        <is>
          <t>number</t>
        </is>
      </c>
      <c r="I14" s="13" t="inlineStr">
        <is>
          <t>EBITDA definition.</t>
        </is>
      </c>
    </row>
    <row r="15">
      <c r="A15" s="7" t="n">
        <v>11</v>
      </c>
      <c r="B15" s="7" t="inlineStr">
        <is>
          <t>P&amp;L</t>
        </is>
      </c>
      <c r="C15" s="8" t="inlineStr">
        <is>
          <t>Cost of materials consumed</t>
        </is>
      </c>
      <c r="D15" s="9" t="inlineStr">
        <is>
          <t>Statement of P&amp;L</t>
        </is>
      </c>
      <c r="E15" s="9" t="inlineStr">
        <is>
          <t>Raw materials consumed</t>
        </is>
      </c>
      <c r="F15" s="10" t="inlineStr">
        <is>
          <t>Req</t>
        </is>
      </c>
      <c r="G15" s="7" t="inlineStr">
        <is>
          <t>Y</t>
        </is>
      </c>
      <c r="H15" s="7" t="inlineStr">
        <is>
          <t>number</t>
        </is>
      </c>
      <c r="I15" s="9" t="inlineStr">
        <is>
          <t>EBITDA (COGS).</t>
        </is>
      </c>
    </row>
    <row r="16">
      <c r="A16" s="11" t="n">
        <v>12</v>
      </c>
      <c r="B16" s="11" t="inlineStr">
        <is>
          <t>P&amp;L</t>
        </is>
      </c>
      <c r="C16" s="12" t="inlineStr">
        <is>
          <t>Purchases of stock-in-trade</t>
        </is>
      </c>
      <c r="D16" s="13" t="inlineStr">
        <is>
          <t>Statement of P&amp;L</t>
        </is>
      </c>
      <c r="E16" s="13" t="inlineStr">
        <is>
          <t>Purchases of traded goods</t>
        </is>
      </c>
      <c r="F16" s="10" t="inlineStr">
        <is>
          <t>Req</t>
        </is>
      </c>
      <c r="G16" s="11" t="inlineStr">
        <is>
          <t>Y</t>
        </is>
      </c>
      <c r="H16" s="11" t="inlineStr">
        <is>
          <t>number</t>
        </is>
      </c>
      <c r="I16" s="13" t="inlineStr">
        <is>
          <t>EBITDA (COGS).</t>
        </is>
      </c>
    </row>
    <row r="17">
      <c r="A17" s="7" t="n">
        <v>13</v>
      </c>
      <c r="B17" s="7" t="inlineStr">
        <is>
          <t>P&amp;L</t>
        </is>
      </c>
      <c r="C17" s="8" t="inlineStr">
        <is>
          <t>Changes in inventories of FG/WIP/stock-in-trade</t>
        </is>
      </c>
      <c r="D17" s="9" t="inlineStr">
        <is>
          <t>Statement of P&amp;L</t>
        </is>
      </c>
      <c r="E17" s="9" t="inlineStr">
        <is>
          <t>(Increase)/decrease in inventories</t>
        </is>
      </c>
      <c r="F17" s="10" t="inlineStr">
        <is>
          <t>Req</t>
        </is>
      </c>
      <c r="G17" s="7" t="inlineStr">
        <is>
          <t>Y</t>
        </is>
      </c>
      <c r="H17" s="7" t="inlineStr">
        <is>
          <t>number</t>
        </is>
      </c>
      <c r="I17" s="9" t="inlineStr">
        <is>
          <t>EBITDA (COGS).</t>
        </is>
      </c>
    </row>
    <row r="18">
      <c r="A18" s="11" t="n">
        <v>14</v>
      </c>
      <c r="B18" s="11" t="inlineStr">
        <is>
          <t>P&amp;L</t>
        </is>
      </c>
      <c r="C18" s="12" t="inlineStr">
        <is>
          <t>Employee benefits expense</t>
        </is>
      </c>
      <c r="D18" s="13" t="inlineStr">
        <is>
          <t>Statement of P&amp;L</t>
        </is>
      </c>
      <c r="E18" s="13" t="inlineStr">
        <is>
          <t>Staff cost / personnel cost</t>
        </is>
      </c>
      <c r="F18" s="10" t="inlineStr">
        <is>
          <t>Req</t>
        </is>
      </c>
      <c r="G18" s="11" t="inlineStr">
        <is>
          <t>Y</t>
        </is>
      </c>
      <c r="H18" s="11" t="inlineStr">
        <is>
          <t>number</t>
        </is>
      </c>
      <c r="I18" s="13" t="inlineStr">
        <is>
          <t>EBITDA.</t>
        </is>
      </c>
    </row>
    <row r="19">
      <c r="A19" s="7" t="n">
        <v>15</v>
      </c>
      <c r="B19" s="7" t="inlineStr">
        <is>
          <t>P&amp;L</t>
        </is>
      </c>
      <c r="C19" s="8" t="inlineStr">
        <is>
          <t>Finance costs</t>
        </is>
      </c>
      <c r="D19" s="9" t="inlineStr">
        <is>
          <t>Statement of P&amp;L</t>
        </is>
      </c>
      <c r="E19" s="9" t="inlineStr">
        <is>
          <t>Interest expense / Finance cost</t>
        </is>
      </c>
      <c r="F19" s="10" t="inlineStr">
        <is>
          <t>Req</t>
        </is>
      </c>
      <c r="G19" s="7" t="inlineStr">
        <is>
          <t>Y</t>
        </is>
      </c>
      <c r="H19" s="7" t="inlineStr">
        <is>
          <t>number</t>
        </is>
      </c>
      <c r="I19" s="9" t="inlineStr">
        <is>
          <t>Interest; EBITDA add-back.</t>
        </is>
      </c>
    </row>
    <row r="20">
      <c r="A20" s="11" t="n">
        <v>16</v>
      </c>
      <c r="B20" s="11" t="inlineStr">
        <is>
          <t>P&amp;L</t>
        </is>
      </c>
      <c r="C20" s="12" t="inlineStr">
        <is>
          <t>Depreciation and amortisation expense</t>
        </is>
      </c>
      <c r="D20" s="13" t="inlineStr">
        <is>
          <t>Statement of P&amp;L</t>
        </is>
      </c>
      <c r="E20" s="13" t="inlineStr">
        <is>
          <t>Depreciation / D&amp;A</t>
        </is>
      </c>
      <c r="F20" s="10" t="inlineStr">
        <is>
          <t>Req</t>
        </is>
      </c>
      <c r="G20" s="11" t="inlineStr">
        <is>
          <t>Y</t>
        </is>
      </c>
      <c r="H20" s="11" t="inlineStr">
        <is>
          <t>number</t>
        </is>
      </c>
      <c r="I20" s="13" t="inlineStr">
        <is>
          <t>EBIT = EBITDA - D&amp;A.</t>
        </is>
      </c>
    </row>
    <row r="21">
      <c r="A21" s="7" t="n">
        <v>17</v>
      </c>
      <c r="B21" s="7" t="inlineStr">
        <is>
          <t>P&amp;L</t>
        </is>
      </c>
      <c r="C21" s="8" t="inlineStr">
        <is>
          <t>Other expenses</t>
        </is>
      </c>
      <c r="D21" s="9" t="inlineStr">
        <is>
          <t>Statement of P&amp;L</t>
        </is>
      </c>
      <c r="E21" s="9" t="inlineStr">
        <is>
          <t>Administrative &amp; other expenses</t>
        </is>
      </c>
      <c r="F21" s="10" t="inlineStr">
        <is>
          <t>Req</t>
        </is>
      </c>
      <c r="G21" s="7" t="inlineStr">
        <is>
          <t>Y</t>
        </is>
      </c>
      <c r="H21" s="7" t="inlineStr">
        <is>
          <t>number</t>
        </is>
      </c>
      <c r="I21" s="9" t="inlineStr">
        <is>
          <t>EBITDA.</t>
        </is>
      </c>
    </row>
    <row r="22">
      <c r="A22" s="11" t="n">
        <v>18</v>
      </c>
      <c r="B22" s="11" t="inlineStr">
        <is>
          <t>P&amp;L</t>
        </is>
      </c>
      <c r="C22" s="12" t="inlineStr">
        <is>
          <t>Exceptional items</t>
        </is>
      </c>
      <c r="D22" s="13" t="inlineStr">
        <is>
          <t>Statement of P&amp;L</t>
        </is>
      </c>
      <c r="E22" s="13" t="inlineStr">
        <is>
          <t>Extraordinary items</t>
        </is>
      </c>
      <c r="F22" s="10" t="inlineStr">
        <is>
          <t>Req*</t>
        </is>
      </c>
      <c r="G22" s="11" t="inlineStr">
        <is>
          <t>Y</t>
        </is>
      </c>
      <c r="H22" s="11" t="inlineStr">
        <is>
          <t>number</t>
        </is>
      </c>
      <c r="I22" s="13" t="inlineStr">
        <is>
          <t>Earnings-quality normalization (*if present).</t>
        </is>
      </c>
    </row>
    <row r="23">
      <c r="A23" s="7" t="n">
        <v>19</v>
      </c>
      <c r="B23" s="7" t="inlineStr">
        <is>
          <t>P&amp;L</t>
        </is>
      </c>
      <c r="C23" s="8" t="inlineStr">
        <is>
          <t>Profit before tax (PBT)</t>
        </is>
      </c>
      <c r="D23" s="9" t="inlineStr">
        <is>
          <t>Statement of P&amp;L</t>
        </is>
      </c>
      <c r="E23" s="9" t="inlineStr">
        <is>
          <t>Profit/(loss) before tax</t>
        </is>
      </c>
      <c r="F23" s="10" t="inlineStr">
        <is>
          <t>Req</t>
        </is>
      </c>
      <c r="G23" s="7" t="inlineStr">
        <is>
          <t>Y</t>
        </is>
      </c>
      <c r="H23" s="7" t="inlineStr">
        <is>
          <t>number</t>
        </is>
      </c>
      <c r="I23" s="9" t="inlineStr">
        <is>
          <t>EBITDA cross-check.</t>
        </is>
      </c>
    </row>
    <row r="24">
      <c r="A24" s="11" t="n">
        <v>20</v>
      </c>
      <c r="B24" s="11" t="inlineStr">
        <is>
          <t>P&amp;L</t>
        </is>
      </c>
      <c r="C24" s="12" t="inlineStr">
        <is>
          <t>Profit for the period (PAT)</t>
        </is>
      </c>
      <c r="D24" s="13" t="inlineStr">
        <is>
          <t>Statement of P&amp;L</t>
        </is>
      </c>
      <c r="E24" s="13" t="inlineStr">
        <is>
          <t>Profit after tax / Net profit</t>
        </is>
      </c>
      <c r="F24" s="10" t="inlineStr">
        <is>
          <t>Req</t>
        </is>
      </c>
      <c r="G24" s="11" t="inlineStr">
        <is>
          <t>Y</t>
        </is>
      </c>
      <c r="H24" s="11" t="inlineStr">
        <is>
          <t>number</t>
        </is>
      </c>
      <c r="I24" s="13" t="inlineStr">
        <is>
          <t>Earnings anchor / reconciliation.</t>
        </is>
      </c>
    </row>
    <row r="25">
      <c r="A25" s="7" t="n">
        <v>21</v>
      </c>
      <c r="B25" s="7" t="inlineStr">
        <is>
          <t>Balance Sheet</t>
        </is>
      </c>
      <c r="C25" s="8" t="inlineStr">
        <is>
          <t>Equity share capital</t>
        </is>
      </c>
      <c r="D25" s="9" t="inlineStr">
        <is>
          <t>BS - Equity</t>
        </is>
      </c>
      <c r="E25" s="9" t="inlineStr">
        <is>
          <t>Share capital</t>
        </is>
      </c>
      <c r="F25" s="10" t="inlineStr">
        <is>
          <t>Req</t>
        </is>
      </c>
      <c r="G25" s="7" t="inlineStr">
        <is>
          <t>Y</t>
        </is>
      </c>
      <c r="H25" s="7" t="inlineStr">
        <is>
          <t>number</t>
        </is>
      </c>
      <c r="I25" s="9" t="inlineStr">
        <is>
          <t>Net worth; shares link.</t>
        </is>
      </c>
    </row>
    <row r="26">
      <c r="A26" s="11" t="n">
        <v>22</v>
      </c>
      <c r="B26" s="11" t="inlineStr">
        <is>
          <t>Balance Sheet</t>
        </is>
      </c>
      <c r="C26" s="12" t="inlineStr">
        <is>
          <t>Other equity</t>
        </is>
      </c>
      <c r="D26" s="13" t="inlineStr">
        <is>
          <t>BS - Equity</t>
        </is>
      </c>
      <c r="E26" s="13" t="inlineStr">
        <is>
          <t>Reserves and surplus</t>
        </is>
      </c>
      <c r="F26" s="10" t="inlineStr">
        <is>
          <t>Req</t>
        </is>
      </c>
      <c r="G26" s="11" t="inlineStr">
        <is>
          <t>Y</t>
        </is>
      </c>
      <c r="H26" s="11" t="inlineStr">
        <is>
          <t>number</t>
        </is>
      </c>
      <c r="I26" s="13" t="inlineStr">
        <is>
          <t>Net worth.</t>
        </is>
      </c>
    </row>
    <row r="27">
      <c r="A27" s="7" t="n">
        <v>23</v>
      </c>
      <c r="B27" s="7" t="inlineStr">
        <is>
          <t>Balance Sheet</t>
        </is>
      </c>
      <c r="C27" s="8" t="inlineStr">
        <is>
          <t>Long-term borrowings</t>
        </is>
      </c>
      <c r="D27" s="9" t="inlineStr">
        <is>
          <t>BS - Non-current liabilities</t>
        </is>
      </c>
      <c r="E27" s="9" t="inlineStr">
        <is>
          <t>Non-current borrowings</t>
        </is>
      </c>
      <c r="F27" s="10" t="inlineStr">
        <is>
          <t>Req</t>
        </is>
      </c>
      <c r="G27" s="7" t="inlineStr">
        <is>
          <t>Y</t>
        </is>
      </c>
      <c r="H27" s="7" t="inlineStr">
        <is>
          <t>number</t>
        </is>
      </c>
      <c r="I27" s="9" t="inlineStr">
        <is>
          <t>Debt (net debt).</t>
        </is>
      </c>
    </row>
    <row r="28">
      <c r="A28" s="11" t="n">
        <v>24</v>
      </c>
      <c r="B28" s="11" t="inlineStr">
        <is>
          <t>Balance Sheet</t>
        </is>
      </c>
      <c r="C28" s="12" t="inlineStr">
        <is>
          <t>Short-term borrowings</t>
        </is>
      </c>
      <c r="D28" s="13" t="inlineStr">
        <is>
          <t>BS - Current liabilities</t>
        </is>
      </c>
      <c r="E28" s="13" t="inlineStr">
        <is>
          <t>Current borrowings</t>
        </is>
      </c>
      <c r="F28" s="10" t="inlineStr">
        <is>
          <t>Req</t>
        </is>
      </c>
      <c r="G28" s="11" t="inlineStr">
        <is>
          <t>Y</t>
        </is>
      </c>
      <c r="H28" s="11" t="inlineStr">
        <is>
          <t>number</t>
        </is>
      </c>
      <c r="I28" s="13" t="inlineStr">
        <is>
          <t>Debt (net debt).</t>
        </is>
      </c>
    </row>
    <row r="29">
      <c r="A29" s="7" t="n">
        <v>25</v>
      </c>
      <c r="B29" s="7" t="inlineStr">
        <is>
          <t>Balance Sheet</t>
        </is>
      </c>
      <c r="C29" s="8" t="inlineStr">
        <is>
          <t>Current maturities of long-term debt</t>
        </is>
      </c>
      <c r="D29" s="9" t="inlineStr">
        <is>
          <t>BS note - Other current financial liabilities</t>
        </is>
      </c>
      <c r="E29" s="9" t="inlineStr">
        <is>
          <t>within 'Other current liabilities' / 'Other financial liabilities'</t>
        </is>
      </c>
      <c r="F29" s="10" t="inlineStr">
        <is>
          <t>Req</t>
        </is>
      </c>
      <c r="G29" s="7" t="inlineStr">
        <is>
          <t>Y</t>
        </is>
      </c>
      <c r="H29" s="7" t="inlineStr">
        <is>
          <t>number</t>
        </is>
      </c>
      <c r="I29" s="9" t="inlineStr">
        <is>
          <t>Debt (net debt).</t>
        </is>
      </c>
    </row>
    <row r="30">
      <c r="A30" s="11" t="n">
        <v>26</v>
      </c>
      <c r="B30" s="11" t="inlineStr">
        <is>
          <t>Balance Sheet</t>
        </is>
      </c>
      <c r="C30" s="12" t="inlineStr">
        <is>
          <t>Cash and cash equivalents</t>
        </is>
      </c>
      <c r="D30" s="13" t="inlineStr">
        <is>
          <t>BS - Current assets</t>
        </is>
      </c>
      <c r="E30" s="13" t="inlineStr">
        <is>
          <t>Cash &amp; bank balances</t>
        </is>
      </c>
      <c r="F30" s="10" t="inlineStr">
        <is>
          <t>Req</t>
        </is>
      </c>
      <c r="G30" s="11" t="inlineStr">
        <is>
          <t>Y</t>
        </is>
      </c>
      <c r="H30" s="11" t="inlineStr">
        <is>
          <t>number</t>
        </is>
      </c>
      <c r="I30" s="13" t="inlineStr">
        <is>
          <t>Net debt.</t>
        </is>
      </c>
    </row>
    <row r="31">
      <c r="A31" s="7" t="n">
        <v>27</v>
      </c>
      <c r="B31" s="7" t="inlineStr">
        <is>
          <t>Balance Sheet</t>
        </is>
      </c>
      <c r="C31" s="8" t="inlineStr">
        <is>
          <t>Bank balances (other) / Current investments</t>
        </is>
      </c>
      <c r="D31" s="9" t="inlineStr">
        <is>
          <t>BS - Current assets</t>
        </is>
      </c>
      <c r="E31" s="9" t="inlineStr">
        <is>
          <t>Other bank balances / current investments (liquid)</t>
        </is>
      </c>
      <c r="F31" s="10" t="inlineStr">
        <is>
          <t>Req</t>
        </is>
      </c>
      <c r="G31" s="7" t="inlineStr">
        <is>
          <t>Y</t>
        </is>
      </c>
      <c r="H31" s="7" t="inlineStr">
        <is>
          <t>number</t>
        </is>
      </c>
      <c r="I31" s="9" t="inlineStr">
        <is>
          <t>Net debt (liquid).</t>
        </is>
      </c>
    </row>
    <row r="32">
      <c r="A32" s="11" t="n">
        <v>28</v>
      </c>
      <c r="B32" s="11" t="inlineStr">
        <is>
          <t>Balance Sheet</t>
        </is>
      </c>
      <c r="C32" s="12" t="inlineStr">
        <is>
          <t>Total current liabilities</t>
        </is>
      </c>
      <c r="D32" s="13" t="inlineStr">
        <is>
          <t>BS - subtotal</t>
        </is>
      </c>
      <c r="E32" s="13" t="inlineStr">
        <is>
          <t>-</t>
        </is>
      </c>
      <c r="F32" s="10" t="inlineStr">
        <is>
          <t>Req</t>
        </is>
      </c>
      <c r="G32" s="11" t="inlineStr">
        <is>
          <t>Y</t>
        </is>
      </c>
      <c r="H32" s="11" t="inlineStr">
        <is>
          <t>number</t>
        </is>
      </c>
      <c r="I32" s="13" t="inlineStr">
        <is>
          <t>Capital employed; working capital.</t>
        </is>
      </c>
    </row>
    <row r="33">
      <c r="A33" s="7" t="n">
        <v>29</v>
      </c>
      <c r="B33" s="7" t="inlineStr">
        <is>
          <t>Balance Sheet</t>
        </is>
      </c>
      <c r="C33" s="8" t="inlineStr">
        <is>
          <t>Total assets</t>
        </is>
      </c>
      <c r="D33" s="9" t="inlineStr">
        <is>
          <t>BS - total</t>
        </is>
      </c>
      <c r="E33" s="9" t="inlineStr">
        <is>
          <t>Total equity and liabilities</t>
        </is>
      </c>
      <c r="F33" s="10" t="inlineStr">
        <is>
          <t>Req</t>
        </is>
      </c>
      <c r="G33" s="7" t="inlineStr">
        <is>
          <t>Y</t>
        </is>
      </c>
      <c r="H33" s="7" t="inlineStr">
        <is>
          <t>number</t>
        </is>
      </c>
      <c r="I33" s="9" t="inlineStr">
        <is>
          <t>Capital employed; total assets.</t>
        </is>
      </c>
    </row>
    <row r="34">
      <c r="A34" s="11" t="n">
        <v>30</v>
      </c>
      <c r="B34" s="11" t="inlineStr">
        <is>
          <t>Shares</t>
        </is>
      </c>
      <c r="C34" s="12" t="inlineStr">
        <is>
          <t>Number of equity shares outstanding</t>
        </is>
      </c>
      <c r="D34" s="13" t="inlineStr">
        <is>
          <t>BS share-capital note / EPS note</t>
        </is>
      </c>
      <c r="E34" s="13" t="inlineStr">
        <is>
          <t>shares outstanding at period end</t>
        </is>
      </c>
      <c r="F34" s="10" t="inlineStr">
        <is>
          <t>Req</t>
        </is>
      </c>
      <c r="G34" s="11" t="inlineStr">
        <is>
          <t>Y</t>
        </is>
      </c>
      <c r="H34" s="11" t="inlineStr">
        <is>
          <t>number</t>
        </is>
      </c>
      <c r="I34" s="13" t="inlineStr">
        <is>
          <t>Market-cap link (shares x external price).</t>
        </is>
      </c>
    </row>
    <row r="35">
      <c r="A35" s="7" t="n">
        <v>31</v>
      </c>
      <c r="B35" s="7" t="inlineStr">
        <is>
          <t>Shares</t>
        </is>
      </c>
      <c r="C35" s="8" t="inlineStr">
        <is>
          <t>Face value per equity share</t>
        </is>
      </c>
      <c r="D35" s="9" t="inlineStr">
        <is>
          <t>BS share-capital note</t>
        </is>
      </c>
      <c r="E35" s="9" t="inlineStr">
        <is>
          <t>par value</t>
        </is>
      </c>
      <c r="F35" s="10" t="inlineStr">
        <is>
          <t>Req</t>
        </is>
      </c>
      <c r="G35" s="7" t="inlineStr">
        <is>
          <t>N</t>
        </is>
      </c>
      <c r="H35" s="7" t="inlineStr">
        <is>
          <t>number</t>
        </is>
      </c>
      <c r="I35" s="9" t="inlineStr">
        <is>
          <t>Shares context.</t>
        </is>
      </c>
    </row>
    <row r="36">
      <c r="A36" s="11" t="n">
        <v>32</v>
      </c>
      <c r="B36" s="11" t="inlineStr">
        <is>
          <t>Classification</t>
        </is>
      </c>
      <c r="C36" s="12" t="inlineStr">
        <is>
          <t>NIC code / principal business activity</t>
        </is>
      </c>
      <c r="D36" s="13" t="inlineStr">
        <is>
          <t>Header / notes / MGT-9</t>
        </is>
      </c>
      <c r="E36" s="13" t="inlineStr">
        <is>
          <t>NIC-2008 code</t>
        </is>
      </c>
      <c r="F36" s="10" t="inlineStr">
        <is>
          <t>Req</t>
        </is>
      </c>
      <c r="G36" s="11" t="inlineStr">
        <is>
          <t>N</t>
        </is>
      </c>
      <c r="H36" s="11" t="inlineStr">
        <is>
          <t>code</t>
        </is>
      </c>
      <c r="I36" s="13" t="inlineStr">
        <is>
          <t>Industry matching (crosswalk to taxonomy).</t>
        </is>
      </c>
    </row>
    <row r="37">
      <c r="A37" s="7" t="n">
        <v>33</v>
      </c>
      <c r="B37" s="7" t="inlineStr">
        <is>
          <t>Classification</t>
        </is>
      </c>
      <c r="C37" s="8" t="inlineStr">
        <is>
          <t>Principal activities + segment reporting</t>
        </is>
      </c>
      <c r="D37" s="9" t="inlineStr">
        <is>
          <t>Directors' report / segment note</t>
        </is>
      </c>
      <c r="E37" s="9" t="inlineStr">
        <is>
          <t>business overview text + segment table</t>
        </is>
      </c>
      <c r="F37" s="10" t="inlineStr">
        <is>
          <t>Req</t>
        </is>
      </c>
      <c r="G37" s="7" t="inlineStr">
        <is>
          <t>N</t>
        </is>
      </c>
      <c r="H37" s="7" t="inlineStr">
        <is>
          <t>text</t>
        </is>
      </c>
      <c r="I37" s="9" t="inlineStr">
        <is>
          <t>Operating model, value chain, customer type.</t>
        </is>
      </c>
    </row>
    <row r="38">
      <c r="A38" s="11" t="n">
        <v>34</v>
      </c>
      <c r="B38" s="11" t="inlineStr">
        <is>
          <t>Classification</t>
        </is>
      </c>
      <c r="C38" s="12" t="inlineStr">
        <is>
          <t>Foreign-exchange / export earnings</t>
        </is>
      </c>
      <c r="D38" s="13" t="inlineStr">
        <is>
          <t>Notes (earnings in foreign currency)</t>
        </is>
      </c>
      <c r="E38" s="13" t="inlineStr">
        <is>
          <t>export revenue / FOB value of exports</t>
        </is>
      </c>
      <c r="F38" s="10" t="inlineStr">
        <is>
          <t>Req</t>
        </is>
      </c>
      <c r="G38" s="11" t="inlineStr">
        <is>
          <t>N</t>
        </is>
      </c>
      <c r="H38" s="11" t="inlineStr">
        <is>
          <t>number</t>
        </is>
      </c>
      <c r="I38" s="13" t="inlineStr">
        <is>
          <t>Exporter flag.</t>
        </is>
      </c>
    </row>
    <row r="39">
      <c r="A39" s="7" t="n">
        <v>35</v>
      </c>
      <c r="B39" s="7" t="inlineStr">
        <is>
          <t>Classification</t>
        </is>
      </c>
      <c r="C39" s="8" t="inlineStr">
        <is>
          <t>Registered office city / state</t>
        </is>
      </c>
      <c r="D39" s="9" t="inlineStr">
        <is>
          <t>Cover / header</t>
        </is>
      </c>
      <c r="E39" s="9" t="inlineStr">
        <is>
          <t>-</t>
        </is>
      </c>
      <c r="F39" s="10" t="inlineStr">
        <is>
          <t>Req</t>
        </is>
      </c>
      <c r="G39" s="7" t="inlineStr">
        <is>
          <t>N</t>
        </is>
      </c>
      <c r="H39" s="7" t="inlineStr">
        <is>
          <t>text</t>
        </is>
      </c>
      <c r="I39" s="9" t="inlineStr">
        <is>
          <t>Identity.</t>
        </is>
      </c>
    </row>
    <row r="40">
      <c r="A40" s="11" t="n">
        <v>36</v>
      </c>
      <c r="B40" s="11" t="inlineStr">
        <is>
          <t>Optional</t>
        </is>
      </c>
      <c r="C40" s="12" t="inlineStr">
        <is>
          <t>Total income</t>
        </is>
      </c>
      <c r="D40" s="13" t="inlineStr">
        <is>
          <t>P&amp;L subtotal</t>
        </is>
      </c>
      <c r="E40" s="13" t="inlineStr">
        <is>
          <t>-</t>
        </is>
      </c>
      <c r="F40" s="14" t="inlineStr">
        <is>
          <t>Opt</t>
        </is>
      </c>
      <c r="G40" s="11" t="inlineStr">
        <is>
          <t>Y</t>
        </is>
      </c>
      <c r="H40" s="11" t="inlineStr">
        <is>
          <t>number</t>
        </is>
      </c>
      <c r="I40" s="13" t="inlineStr">
        <is>
          <t>Reconciliation.</t>
        </is>
      </c>
    </row>
    <row r="41">
      <c r="A41" s="7" t="n">
        <v>37</v>
      </c>
      <c r="B41" s="7" t="inlineStr">
        <is>
          <t>Optional</t>
        </is>
      </c>
      <c r="C41" s="8" t="inlineStr">
        <is>
          <t>Total expenses</t>
        </is>
      </c>
      <c r="D41" s="9" t="inlineStr">
        <is>
          <t>P&amp;L subtotal</t>
        </is>
      </c>
      <c r="E41" s="9" t="inlineStr">
        <is>
          <t>-</t>
        </is>
      </c>
      <c r="F41" s="14" t="inlineStr">
        <is>
          <t>Opt</t>
        </is>
      </c>
      <c r="G41" s="7" t="inlineStr">
        <is>
          <t>Y</t>
        </is>
      </c>
      <c r="H41" s="7" t="inlineStr">
        <is>
          <t>number</t>
        </is>
      </c>
      <c r="I41" s="9" t="inlineStr">
        <is>
          <t>Reconciliation.</t>
        </is>
      </c>
    </row>
    <row r="42">
      <c r="A42" s="11" t="n">
        <v>38</v>
      </c>
      <c r="B42" s="11" t="inlineStr">
        <is>
          <t>Optional</t>
        </is>
      </c>
      <c r="C42" s="12" t="inlineStr">
        <is>
          <t>Tax expense (current + deferred)</t>
        </is>
      </c>
      <c r="D42" s="13" t="inlineStr">
        <is>
          <t>Statement of P&amp;L</t>
        </is>
      </c>
      <c r="E42" s="13" t="inlineStr">
        <is>
          <t>-</t>
        </is>
      </c>
      <c r="F42" s="14" t="inlineStr">
        <is>
          <t>Opt</t>
        </is>
      </c>
      <c r="G42" s="11" t="inlineStr">
        <is>
          <t>Y</t>
        </is>
      </c>
      <c r="H42" s="11" t="inlineStr">
        <is>
          <t>number</t>
        </is>
      </c>
      <c r="I42" s="13" t="inlineStr">
        <is>
          <t>Reconciliation (PBT - tax = PAT).</t>
        </is>
      </c>
    </row>
    <row r="43">
      <c r="A43" s="7" t="n">
        <v>39</v>
      </c>
      <c r="B43" s="7" t="inlineStr">
        <is>
          <t>Optional</t>
        </is>
      </c>
      <c r="C43" s="8" t="inlineStr">
        <is>
          <t>Basic &amp; diluted EPS</t>
        </is>
      </c>
      <c r="D43" s="9" t="inlineStr">
        <is>
          <t>Statement of P&amp;L</t>
        </is>
      </c>
      <c r="E43" s="9" t="inlineStr">
        <is>
          <t>Earnings per share</t>
        </is>
      </c>
      <c r="F43" s="14" t="inlineStr">
        <is>
          <t>Opt</t>
        </is>
      </c>
      <c r="G43" s="7" t="inlineStr">
        <is>
          <t>Y</t>
        </is>
      </c>
      <c r="H43" s="7" t="inlineStr">
        <is>
          <t>number</t>
        </is>
      </c>
      <c r="I43" s="9" t="inlineStr">
        <is>
          <t>Cross-check / future P/E.</t>
        </is>
      </c>
    </row>
    <row r="44">
      <c r="A44" s="11" t="n">
        <v>40</v>
      </c>
      <c r="B44" s="11" t="inlineStr">
        <is>
          <t>Optional</t>
        </is>
      </c>
      <c r="C44" s="12" t="inlineStr">
        <is>
          <t>Property, plant and equipment</t>
        </is>
      </c>
      <c r="D44" s="13" t="inlineStr">
        <is>
          <t>BS - Non-current assets</t>
        </is>
      </c>
      <c r="E44" s="13" t="inlineStr">
        <is>
          <t>Tangible fixed assets</t>
        </is>
      </c>
      <c r="F44" s="14" t="inlineStr">
        <is>
          <t>Opt</t>
        </is>
      </c>
      <c r="G44" s="11" t="inlineStr">
        <is>
          <t>Y</t>
        </is>
      </c>
      <c r="H44" s="11" t="inlineStr">
        <is>
          <t>number</t>
        </is>
      </c>
      <c r="I44" s="13" t="inlineStr">
        <is>
          <t>Robustness.</t>
        </is>
      </c>
    </row>
    <row r="45">
      <c r="A45" s="7" t="n">
        <v>41</v>
      </c>
      <c r="B45" s="7" t="inlineStr">
        <is>
          <t>Optional</t>
        </is>
      </c>
      <c r="C45" s="8" t="inlineStr">
        <is>
          <t>Intangible assets &amp; Goodwill</t>
        </is>
      </c>
      <c r="D45" s="9" t="inlineStr">
        <is>
          <t>BS - Non-current assets</t>
        </is>
      </c>
      <c r="E45" s="9" t="inlineStr">
        <is>
          <t>-</t>
        </is>
      </c>
      <c r="F45" s="14" t="inlineStr">
        <is>
          <t>Opt</t>
        </is>
      </c>
      <c r="G45" s="7" t="inlineStr">
        <is>
          <t>Y</t>
        </is>
      </c>
      <c r="H45" s="7" t="inlineStr">
        <is>
          <t>number</t>
        </is>
      </c>
      <c r="I45" s="9" t="inlineStr">
        <is>
          <t>Robustness.</t>
        </is>
      </c>
    </row>
    <row r="46">
      <c r="A46" s="11" t="n">
        <v>42</v>
      </c>
      <c r="B46" s="11" t="inlineStr">
        <is>
          <t>Optional</t>
        </is>
      </c>
      <c r="C46" s="12" t="inlineStr">
        <is>
          <t>Inventories</t>
        </is>
      </c>
      <c r="D46" s="13" t="inlineStr">
        <is>
          <t>BS - Current assets</t>
        </is>
      </c>
      <c r="E46" s="13" t="inlineStr">
        <is>
          <t>Stock</t>
        </is>
      </c>
      <c r="F46" s="14" t="inlineStr">
        <is>
          <t>Opt</t>
        </is>
      </c>
      <c r="G46" s="11" t="inlineStr">
        <is>
          <t>Y</t>
        </is>
      </c>
      <c r="H46" s="11" t="inlineStr">
        <is>
          <t>number</t>
        </is>
      </c>
      <c r="I46" s="13" t="inlineStr">
        <is>
          <t>Working-capital detail.</t>
        </is>
      </c>
    </row>
    <row r="47">
      <c r="A47" s="7" t="n">
        <v>43</v>
      </c>
      <c r="B47" s="7" t="inlineStr">
        <is>
          <t>Optional</t>
        </is>
      </c>
      <c r="C47" s="8" t="inlineStr">
        <is>
          <t>Trade receivables</t>
        </is>
      </c>
      <c r="D47" s="9" t="inlineStr">
        <is>
          <t>BS - Current assets</t>
        </is>
      </c>
      <c r="E47" s="9" t="inlineStr">
        <is>
          <t>Debtors / sundry debtors</t>
        </is>
      </c>
      <c r="F47" s="14" t="inlineStr">
        <is>
          <t>Opt</t>
        </is>
      </c>
      <c r="G47" s="7" t="inlineStr">
        <is>
          <t>Y</t>
        </is>
      </c>
      <c r="H47" s="7" t="inlineStr">
        <is>
          <t>number</t>
        </is>
      </c>
      <c r="I47" s="9" t="inlineStr">
        <is>
          <t>Working-capital detail.</t>
        </is>
      </c>
    </row>
    <row r="48">
      <c r="A48" s="11" t="n">
        <v>44</v>
      </c>
      <c r="B48" s="11" t="inlineStr">
        <is>
          <t>Optional</t>
        </is>
      </c>
      <c r="C48" s="12" t="inlineStr">
        <is>
          <t>Trade payables</t>
        </is>
      </c>
      <c r="D48" s="13" t="inlineStr">
        <is>
          <t>BS - Current liabilities</t>
        </is>
      </c>
      <c r="E48" s="13" t="inlineStr">
        <is>
          <t>Creditors / sundry creditors</t>
        </is>
      </c>
      <c r="F48" s="14" t="inlineStr">
        <is>
          <t>Opt</t>
        </is>
      </c>
      <c r="G48" s="11" t="inlineStr">
        <is>
          <t>Y</t>
        </is>
      </c>
      <c r="H48" s="11" t="inlineStr">
        <is>
          <t>number</t>
        </is>
      </c>
      <c r="I48" s="13" t="inlineStr">
        <is>
          <t>Working-capital detail.</t>
        </is>
      </c>
    </row>
    <row r="49">
      <c r="A49" s="7" t="n">
        <v>45</v>
      </c>
      <c r="B49" s="7" t="inlineStr">
        <is>
          <t>Optional</t>
        </is>
      </c>
      <c r="C49" s="8" t="inlineStr">
        <is>
          <t>Total current assets</t>
        </is>
      </c>
      <c r="D49" s="9" t="inlineStr">
        <is>
          <t>BS - subtotal</t>
        </is>
      </c>
      <c r="E49" s="9" t="inlineStr">
        <is>
          <t>-</t>
        </is>
      </c>
      <c r="F49" s="14" t="inlineStr">
        <is>
          <t>Opt</t>
        </is>
      </c>
      <c r="G49" s="7" t="inlineStr">
        <is>
          <t>Y</t>
        </is>
      </c>
      <c r="H49" s="7" t="inlineStr">
        <is>
          <t>number</t>
        </is>
      </c>
      <c r="I49" s="9" t="inlineStr">
        <is>
          <t>Working capital.</t>
        </is>
      </c>
    </row>
    <row r="50">
      <c r="A50" s="11" t="n">
        <v>46</v>
      </c>
      <c r="B50" s="11" t="inlineStr">
        <is>
          <t>Optional</t>
        </is>
      </c>
      <c r="C50" s="12" t="inlineStr">
        <is>
          <t>Total non-current liabilities</t>
        </is>
      </c>
      <c r="D50" s="13" t="inlineStr">
        <is>
          <t>BS - subtotal</t>
        </is>
      </c>
      <c r="E50" s="13" t="inlineStr">
        <is>
          <t>-</t>
        </is>
      </c>
      <c r="F50" s="14" t="inlineStr">
        <is>
          <t>Opt</t>
        </is>
      </c>
      <c r="G50" s="11" t="inlineStr">
        <is>
          <t>Y</t>
        </is>
      </c>
      <c r="H50" s="11" t="inlineStr">
        <is>
          <t>number</t>
        </is>
      </c>
      <c r="I50" s="13" t="inlineStr">
        <is>
          <t>Capital employed (alt).</t>
        </is>
      </c>
    </row>
    <row r="51">
      <c r="A51" s="7" t="n">
        <v>47</v>
      </c>
      <c r="B51" s="7" t="inlineStr">
        <is>
          <t>Optional</t>
        </is>
      </c>
      <c r="C51" s="8" t="inlineStr">
        <is>
          <t>Non-current investments</t>
        </is>
      </c>
      <c r="D51" s="9" t="inlineStr">
        <is>
          <t>BS - Non-current assets</t>
        </is>
      </c>
      <c r="E51" s="9" t="inlineStr">
        <is>
          <t>Investments</t>
        </is>
      </c>
      <c r="F51" s="14" t="inlineStr">
        <is>
          <t>Opt</t>
        </is>
      </c>
      <c r="G51" s="7" t="inlineStr">
        <is>
          <t>Y</t>
        </is>
      </c>
      <c r="H51" s="7" t="inlineStr">
        <is>
          <t>number</t>
        </is>
      </c>
      <c r="I51" s="9" t="inlineStr">
        <is>
          <t>Context.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60" customWidth="1" min="3" max="3"/>
  </cols>
  <sheetData>
    <row r="1" ht="30" customHeight="1">
      <c r="A1" s="1" t="inlineStr">
        <is>
          <t>Out of Scope - do NOT extract / do NOT compute</t>
        </is>
      </c>
    </row>
    <row r="2" ht="18" customHeight="1">
      <c r="A2" s="2" t="inlineStr">
        <is>
          <t>Prevents wasted effort. The engine derives these; some are external to the statements.</t>
        </is>
      </c>
    </row>
    <row r="4">
      <c r="A4" s="6" t="inlineStr">
        <is>
          <t>Category</t>
        </is>
      </c>
      <c r="B4" s="6" t="inlineStr">
        <is>
          <t>Item</t>
        </is>
      </c>
      <c r="C4" s="6" t="inlineStr">
        <is>
          <t>Why it is out of scope</t>
        </is>
      </c>
    </row>
    <row r="5">
      <c r="A5" s="15" t="inlineStr">
        <is>
          <t>Do NOT compute</t>
        </is>
      </c>
      <c r="B5" s="16" t="inlineStr">
        <is>
          <t>EBITDA, EBIT</t>
        </is>
      </c>
      <c r="C5" s="9" t="inlineStr">
        <is>
          <t>Derived by the engine from the P&amp;L lines above (kept consistent + audited).</t>
        </is>
      </c>
    </row>
    <row r="6">
      <c r="A6" s="15" t="inlineStr">
        <is>
          <t>Do NOT compute</t>
        </is>
      </c>
      <c r="B6" s="16" t="inlineStr">
        <is>
          <t>Net debt</t>
        </is>
      </c>
      <c r="C6" s="9">
        <f> total borrowings - cash &amp; liquid; engine computes from BS lines.</f>
        <v/>
      </c>
    </row>
    <row r="7">
      <c r="A7" s="15" t="inlineStr">
        <is>
          <t>Do NOT compute</t>
        </is>
      </c>
      <c r="B7" s="16" t="inlineStr">
        <is>
          <t>Capital employed</t>
        </is>
      </c>
      <c r="C7" s="9">
        <f> Total assets - Total current liabilities; engine computes.</f>
        <v/>
      </c>
    </row>
    <row r="8">
      <c r="A8" s="15" t="inlineStr">
        <is>
          <t>Do NOT compute</t>
        </is>
      </c>
      <c r="B8" s="16" t="inlineStr">
        <is>
          <t>Net worth</t>
        </is>
      </c>
      <c r="C8" s="9">
        <f> Share capital + Other equity; engine computes.</f>
        <v/>
      </c>
    </row>
    <row r="9">
      <c r="A9" s="15" t="inlineStr">
        <is>
          <t>Do NOT compute</t>
        </is>
      </c>
      <c r="B9" s="16" t="inlineStr">
        <is>
          <t>Working capital</t>
        </is>
      </c>
      <c r="C9" s="9">
        <f> Current assets - Current liabilities; engine computes.</f>
        <v/>
      </c>
    </row>
    <row r="10">
      <c r="A10" s="15" t="inlineStr">
        <is>
          <t>Do NOT compute</t>
        </is>
      </c>
      <c r="B10" s="16" t="inlineStr">
        <is>
          <t>Growth %, margins, any ratio/multiple</t>
        </is>
      </c>
      <c r="C10" s="9" t="inlineStr">
        <is>
          <t>Engine computes from raw values + peers.</t>
        </is>
      </c>
    </row>
    <row r="11">
      <c r="A11" s="17" t="inlineStr">
        <is>
          <t>EXTERNAL (not in PDF)</t>
        </is>
      </c>
      <c r="B11" s="16" t="inlineStr">
        <is>
          <t>Market price / share price</t>
        </is>
      </c>
      <c r="C11" s="9" t="inlineStr">
        <is>
          <t>From a market-data feed, not the financial statements.</t>
        </is>
      </c>
    </row>
    <row r="12">
      <c r="A12" s="17" t="inlineStr">
        <is>
          <t>EXTERNAL (not in PDF)</t>
        </is>
      </c>
      <c r="B12" s="16" t="inlineStr">
        <is>
          <t>Market capitalisation</t>
        </is>
      </c>
      <c r="C12" s="9">
        <f> shares (item 30) x external market price.</f>
        <v/>
      </c>
    </row>
    <row r="13">
      <c r="A13" s="17" t="inlineStr">
        <is>
          <t>EXTERNAL (not in PDF)</t>
        </is>
      </c>
      <c r="B13" s="16" t="inlineStr">
        <is>
          <t>Enterprise value</t>
        </is>
      </c>
      <c r="C13" s="9">
        <f> market cap + net debt; needs the external price.</f>
        <v/>
      </c>
    </row>
    <row r="14">
      <c r="A14" s="18" t="inlineStr">
        <is>
          <t>Not needed</t>
        </is>
      </c>
      <c r="B14" s="16" t="inlineStr">
        <is>
          <t>Full note-by-note text</t>
        </is>
      </c>
      <c r="C14" s="9" t="inlineStr">
        <is>
          <t>Only the specific notes listed (export earnings, share capital) are needed.</t>
        </is>
      </c>
    </row>
    <row r="15">
      <c r="A15" s="18" t="inlineStr">
        <is>
          <t>Not needed</t>
        </is>
      </c>
      <c r="B15" s="16" t="inlineStr">
        <is>
          <t>Related-party tables, accounting policies</t>
        </is>
      </c>
      <c r="C15" s="9" t="inlineStr">
        <is>
          <t>Not used by discovery or valuation.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2026-07-14T01:55:38Z</dcterms:created>
  <dcterms:modified xmlns:dcterms="http://purl.org/dc/terms/" xmlns:xsi="http://www.w3.org/2001/XMLSchema-instance" xsi:type="dcterms:W3CDTF">2026-07-14T01:55:38Z</dcterms:modified>
</cp:coreProperties>
</file>